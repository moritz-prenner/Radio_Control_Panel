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5B42E5-700C-47F0-AF7E-A2C2ADA4A121}" xr6:coauthVersionLast="47" xr6:coauthVersionMax="47" xr10:uidLastSave="{00000000-0000-0000-0000-000000000000}"/>
  <bookViews>
    <workbookView xWindow="-108" yWindow="-108" windowWidth="23256" windowHeight="12456" xr2:uid="{98A7AF5A-EA12-43A1-9801-F2D8A6B741A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5" i="1" s="1"/>
</calcChain>
</file>

<file path=xl/sharedStrings.xml><?xml version="1.0" encoding="utf-8"?>
<sst xmlns="http://schemas.openxmlformats.org/spreadsheetml/2006/main" count="42" uniqueCount="24">
  <si>
    <t>name</t>
  </si>
  <si>
    <t>price</t>
  </si>
  <si>
    <t>shop</t>
  </si>
  <si>
    <t>supplied by</t>
  </si>
  <si>
    <t>100nF capacitors</t>
  </si>
  <si>
    <t>-</t>
  </si>
  <si>
    <t>myself</t>
  </si>
  <si>
    <t>Radio Control Panel - BOM</t>
  </si>
  <si>
    <t>ON - OFF Switch</t>
  </si>
  <si>
    <t>Aliexpress</t>
  </si>
  <si>
    <t>HackClub</t>
  </si>
  <si>
    <t>EC11 Rotary Encoder</t>
  </si>
  <si>
    <t>link</t>
  </si>
  <si>
    <t>Push Buttons</t>
  </si>
  <si>
    <t>rpi pico</t>
  </si>
  <si>
    <t>7 Segment Displays</t>
  </si>
  <si>
    <t>total</t>
  </si>
  <si>
    <t>subtotal</t>
  </si>
  <si>
    <t>shipping</t>
  </si>
  <si>
    <t>I will (probably) print 3d printed parts myself.</t>
  </si>
  <si>
    <t>Even tho I will use my ticket payout to buy filament,</t>
  </si>
  <si>
    <t>I put in a higher needed fund than the total here.</t>
  </si>
  <si>
    <t>I will of course return the rest if I don't need the full funds.</t>
  </si>
  <si>
    <t>copper wire (22 Awg)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</si>
</sst>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1" xfId="0" applyFill="1" applyBorder="1" applyAlignment="1">
      <alignment horizontal="center"/>
    </xf>
    <xf numFmtId="164" fontId="0" fillId="8" borderId="2" xfId="0" applyNumberFormat="1" applyFill="1" applyBorder="1"/>
    <xf numFmtId="0" fontId="0" fillId="8" borderId="3" xfId="0" applyFill="1" applyBorder="1"/>
    <xf numFmtId="164" fontId="0" fillId="7" borderId="4" xfId="0" applyNumberFormat="1" applyFill="1" applyBorder="1"/>
    <xf numFmtId="164" fontId="0" fillId="7" borderId="5" xfId="0" applyNumberFormat="1" applyFill="1" applyBorder="1"/>
    <xf numFmtId="164" fontId="0" fillId="7" borderId="6" xfId="0" applyNumberFormat="1" applyFill="1" applyBorder="1"/>
    <xf numFmtId="164" fontId="0" fillId="7" borderId="7" xfId="0" applyNumberFormat="1" applyFill="1" applyBorder="1"/>
    <xf numFmtId="0" fontId="0" fillId="6" borderId="4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/>
    <xf numFmtId="0" fontId="0" fillId="5" borderId="0" xfId="0" applyFill="1" applyBorder="1"/>
    <xf numFmtId="0" fontId="0" fillId="0" borderId="0" xfId="0" applyBorder="1"/>
    <xf numFmtId="0" fontId="0" fillId="3" borderId="12" xfId="0" applyFill="1" applyBorder="1"/>
    <xf numFmtId="164" fontId="0" fillId="5" borderId="0" xfId="0" applyNumberFormat="1" applyFill="1" applyBorder="1"/>
    <xf numFmtId="0" fontId="1" fillId="0" borderId="0" xfId="1" applyBorder="1"/>
    <xf numFmtId="0" fontId="0" fillId="4" borderId="12" xfId="0" applyFill="1" applyBorder="1"/>
    <xf numFmtId="0" fontId="0" fillId="0" borderId="6" xfId="0" applyBorder="1"/>
    <xf numFmtId="164" fontId="0" fillId="5" borderId="13" xfId="0" applyNumberFormat="1" applyFill="1" applyBorder="1"/>
    <xf numFmtId="0" fontId="0" fillId="0" borderId="13" xfId="0" applyBorder="1"/>
    <xf numFmtId="0" fontId="1" fillId="0" borderId="13" xfId="1" applyBorder="1"/>
    <xf numFmtId="0" fontId="0" fillId="4" borderId="7" xfId="0" applyFill="1" applyBorder="1"/>
    <xf numFmtId="0" fontId="0" fillId="9" borderId="4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us/item/3256804684069346.html?gatewayAdapt=glo2usa4itemAdapt" TargetMode="External"/><Relationship Id="rId2" Type="http://schemas.openxmlformats.org/officeDocument/2006/relationships/hyperlink" Target="https://www.aliexpress.us/item/3256807457768762.html?spm=a2g0o.productlist.main.3.5e107f692rVjMI&amp;algo_pvid=16a4c832-021b-4d56-b55c-59ff3b06d175&amp;algo_exp_id=16a4c832-021b-4d56-b55c-59ff3b06d175-2&amp;pdp_ext_f=%7B%22order%22%3A%22519%22%2C%22eval%22%3A%221%22%2C%22fromPage%22%3A%22search%22%7D&amp;pdp_npi=6%40dis%21USD%211.52%210.99%21%21%211.52%210.99%21%40211b80c217674327446261642e184e%2112000041630839427%21sea%21US%210%21ABX%211%210%21n_tag%3A-29910%3Bd%3Ad36062a4%3Bm03_new_user%3A-29895%3BpisId%3A5000000197847450&amp;curPageLogUid=4bkzhcWoR8cU&amp;utparam-url=scene%3Asearch%7Cquery_from%3A%7Cx_object_id%3A1005007644083514%7C_p_origin_prod%3A" TargetMode="External"/><Relationship Id="rId1" Type="http://schemas.openxmlformats.org/officeDocument/2006/relationships/hyperlink" Target="https://www.aliexpress.us/item/2251832806771133.html?spm=a2g0o.productlist.main.7.420015baAIwGHD&amp;algo_pvid=94cdd163-5bc1-4bdf-99f6-3c7cd690963e&amp;algo_exp_id=94cdd163-5bc1-4bdf-99f6-3c7cd690963e-6&amp;pdp_ext_f=%7B%22order%22%3A%22532%22%2C%22eval%22%3A%221%22%2C%22fromPage%22%3A%22search%22%7D&amp;pdp_npi=6%40dis%21USD%211.31%210.99%21%21%211.31%210.99%21%402103835e17674645519046610e2fc5%2166908345092%21sea%21US%210%21ABX%211%210%21n_tag%3A-29910%3Bd%3Ad36062a4%3Bm03_new_user%3A-29895%3BpisId%3A5000000197847450&amp;curPageLogUid=EyVo29WPJF3t&amp;utparam-url=scene%3Asearch%7Cquery_from%3A%7Cx_object_id%3A32993085885%7C_p_origin_prod%3A" TargetMode="External"/><Relationship Id="rId6" Type="http://schemas.openxmlformats.org/officeDocument/2006/relationships/hyperlink" Target="https://www.aliexpress.us/item/3256804149903490.html?spm=a2g0o.productlist.main.8.11174263lEfxNt&amp;algo_pvid=3da080dc-fad1-4e99-bcf7-f670f993f588&amp;algo_exp_id=3da080dc-fad1-4e99-bcf7-f670f993f588-8&amp;pdp_ext_f=%7B%22order%22%3A%226132%22%2C%22eval%22%3A%221%22%2C%22fromPage%22%3A%22search%22%7D&amp;pdp_npi=6%40dis%21USD%212.13%210.99%21%21%212.13%210.99%21%40211b628117674678516367318e0068%2112000028806929676%21sea%21US%210%21ABX%211%210%21n_tag%3A-29910%3Bd%3Ad36062a4%3Bm03_new_user%3A-29895%3BpisId%3A5000000197847450&amp;curPageLogUid=FbXHscWTMq9o&amp;utparam-url=scene%3Asearch%7Cquery_from%3A%7Cx_object_id%3A1005004336218242%7C_p_origin_prod%3A" TargetMode="External"/><Relationship Id="rId5" Type="http://schemas.openxmlformats.org/officeDocument/2006/relationships/hyperlink" Target="https://www.aliexpress.us/item/3256807207612469.html?spm=a2g0o.productlist.main.13.3a89LqybLqybcM&amp;utparam-url=scene%3Asearch%7Cquery_from%3Apc_back_same_best%7Cx_object_id%3A1005007393927221%7C_p_origin_prod%3A&amp;algo_pvid=d92e1b92-d5e3-4662-8dd0-fef49429409b&amp;algo_exp_id=d92e1b92-d5e3-4662-8dd0-fef49429409b&amp;pdp_ext_f=%7B%22order%22%3A%2212917%22%2C%22fromPage%22%3A%22search%22%7D&amp;pdp_npi=6%40dis%21USD%218.32%210.99%21%21%2157.72%216.91%21%402103868817674645213242268e161a%2112000040565295946%21sea%21US%210%21ABX%211%210%21n_tag%3A-29910%3Bd%3Ad36062a4%3Bm03_new_user%3A-29895%3BpisId%3A5000000197847450&amp;gatewayAdapt=4itemAdapt" TargetMode="External"/><Relationship Id="rId4" Type="http://schemas.openxmlformats.org/officeDocument/2006/relationships/hyperlink" Target="https://www.aliexpress.us/item/3256806981902355.html?spm=a2g0o.productlist.main.2.ab2blxwslxwsE5&amp;algo_pvid=27c3cdd0-7402-433a-ae01-851516b1496b&amp;algo_exp_id=27c3cdd0-7402-433a-ae01-851516b1496b-48&amp;pdp_ext_f=%7B%22order%22%3A%226592%22%2C%22eval%22%3A%221%22%2C%22fromPage%22%3A%22search%22%7D&amp;pdp_npi=6%40dis%21USD%211.93%210.99%21%21%2113.37%216.85%21%402103917f17674650199502805ec968%2112000039683718471%21sea%21US%210%21ABX%211%210%21n_tag%3A-29910%3Bd%3Ad36062a4%3Bm03_new_user%3A-29895%3BpisId%3A5000000197847450&amp;curPageLogUid=27dcHSDXbnaT&amp;utparam-url=scene%3Asearch%7Cquery_from%3A%7Cx_object_id%3A1005007168217107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92-D083-4306-8E84-5413BEC53AD1}">
  <dimension ref="B1:I15"/>
  <sheetViews>
    <sheetView tabSelected="1" zoomScale="175" zoomScaleNormal="175" workbookViewId="0">
      <selection activeCell="H8" sqref="H8"/>
    </sheetView>
  </sheetViews>
  <sheetFormatPr baseColWidth="10" defaultRowHeight="14.4" x14ac:dyDescent="0.3"/>
  <cols>
    <col min="1" max="1" width="2.21875" customWidth="1"/>
    <col min="2" max="2" width="17.88671875" bestFit="1" customWidth="1"/>
  </cols>
  <sheetData>
    <row r="1" spans="2:9" ht="12" customHeight="1" thickBot="1" x14ac:dyDescent="0.35"/>
    <row r="2" spans="2:9" x14ac:dyDescent="0.3">
      <c r="B2" s="8" t="s">
        <v>7</v>
      </c>
      <c r="C2" s="9"/>
      <c r="D2" s="9"/>
      <c r="E2" s="9"/>
      <c r="F2" s="10"/>
    </row>
    <row r="3" spans="2:9" ht="15" thickBot="1" x14ac:dyDescent="0.35">
      <c r="B3" s="11" t="s">
        <v>0</v>
      </c>
      <c r="C3" s="1" t="s">
        <v>1</v>
      </c>
      <c r="D3" s="1" t="s">
        <v>2</v>
      </c>
      <c r="E3" s="1" t="s">
        <v>12</v>
      </c>
      <c r="F3" s="12" t="s">
        <v>3</v>
      </c>
    </row>
    <row r="4" spans="2:9" ht="15" thickTop="1" x14ac:dyDescent="0.3">
      <c r="B4" s="13" t="s">
        <v>4</v>
      </c>
      <c r="C4" s="14" t="s">
        <v>5</v>
      </c>
      <c r="D4" s="15" t="s">
        <v>5</v>
      </c>
      <c r="E4" s="15" t="s">
        <v>5</v>
      </c>
      <c r="F4" s="16" t="s">
        <v>6</v>
      </c>
    </row>
    <row r="5" spans="2:9" x14ac:dyDescent="0.3">
      <c r="B5" s="13" t="s">
        <v>8</v>
      </c>
      <c r="C5" s="17">
        <v>2.0299999999999998</v>
      </c>
      <c r="D5" s="15" t="s">
        <v>9</v>
      </c>
      <c r="E5" s="18" t="s">
        <v>12</v>
      </c>
      <c r="F5" s="19" t="s">
        <v>10</v>
      </c>
    </row>
    <row r="6" spans="2:9" x14ac:dyDescent="0.3">
      <c r="B6" s="13" t="s">
        <v>11</v>
      </c>
      <c r="C6" s="17">
        <v>2.08</v>
      </c>
      <c r="D6" s="15" t="s">
        <v>9</v>
      </c>
      <c r="E6" s="18" t="s">
        <v>12</v>
      </c>
      <c r="F6" s="19" t="s">
        <v>10</v>
      </c>
    </row>
    <row r="7" spans="2:9" x14ac:dyDescent="0.3">
      <c r="B7" s="13" t="s">
        <v>15</v>
      </c>
      <c r="C7" s="17">
        <v>6.03</v>
      </c>
      <c r="D7" s="15" t="s">
        <v>9</v>
      </c>
      <c r="E7" s="18" t="s">
        <v>12</v>
      </c>
      <c r="F7" s="19" t="s">
        <v>10</v>
      </c>
    </row>
    <row r="8" spans="2:9" x14ac:dyDescent="0.3">
      <c r="B8" s="13" t="s">
        <v>23</v>
      </c>
      <c r="C8" s="17">
        <v>2.54</v>
      </c>
      <c r="D8" s="15" t="s">
        <v>9</v>
      </c>
      <c r="E8" s="18" t="s">
        <v>12</v>
      </c>
      <c r="F8" s="19" t="s">
        <v>10</v>
      </c>
    </row>
    <row r="9" spans="2:9" x14ac:dyDescent="0.3">
      <c r="B9" s="13" t="s">
        <v>13</v>
      </c>
      <c r="C9" s="17">
        <v>1.75</v>
      </c>
      <c r="D9" s="15" t="s">
        <v>9</v>
      </c>
      <c r="E9" s="18" t="s">
        <v>12</v>
      </c>
      <c r="F9" s="19" t="s">
        <v>10</v>
      </c>
    </row>
    <row r="10" spans="2:9" ht="15" thickBot="1" x14ac:dyDescent="0.35">
      <c r="B10" s="20" t="s">
        <v>14</v>
      </c>
      <c r="C10" s="21">
        <v>0.99</v>
      </c>
      <c r="D10" s="22" t="s">
        <v>9</v>
      </c>
      <c r="E10" s="23" t="s">
        <v>12</v>
      </c>
      <c r="F10" s="24" t="s">
        <v>10</v>
      </c>
    </row>
    <row r="11" spans="2:9" ht="15" thickBot="1" x14ac:dyDescent="0.35"/>
    <row r="12" spans="2:9" x14ac:dyDescent="0.3">
      <c r="C12" s="4">
        <f>SUM(C5:C10)</f>
        <v>15.42</v>
      </c>
      <c r="D12" s="5" t="s">
        <v>17</v>
      </c>
      <c r="F12" s="25" t="s">
        <v>19</v>
      </c>
      <c r="G12" s="26"/>
      <c r="H12" s="26"/>
      <c r="I12" s="27"/>
    </row>
    <row r="13" spans="2:9" ht="15" thickBot="1" x14ac:dyDescent="0.35">
      <c r="C13" s="6">
        <v>6</v>
      </c>
      <c r="D13" s="7" t="s">
        <v>18</v>
      </c>
      <c r="F13" s="28" t="s">
        <v>20</v>
      </c>
      <c r="G13" s="29"/>
      <c r="H13" s="29"/>
      <c r="I13" s="30"/>
    </row>
    <row r="14" spans="2:9" ht="15" thickBot="1" x14ac:dyDescent="0.35">
      <c r="F14" s="28" t="s">
        <v>21</v>
      </c>
      <c r="G14" s="29"/>
      <c r="H14" s="29"/>
      <c r="I14" s="30"/>
    </row>
    <row r="15" spans="2:9" ht="15" thickBot="1" x14ac:dyDescent="0.35">
      <c r="C15" s="2">
        <f>C12+C13</f>
        <v>21.42</v>
      </c>
      <c r="D15" s="3" t="s">
        <v>16</v>
      </c>
      <c r="F15" s="31" t="s">
        <v>22</v>
      </c>
      <c r="G15" s="32"/>
      <c r="H15" s="32"/>
      <c r="I15" s="33"/>
    </row>
  </sheetData>
  <mergeCells count="5">
    <mergeCell ref="F15:I15"/>
    <mergeCell ref="B2:F2"/>
    <mergeCell ref="F12:I12"/>
    <mergeCell ref="F13:I13"/>
    <mergeCell ref="F14:I14"/>
  </mergeCells>
  <hyperlinks>
    <hyperlink ref="E5" r:id="rId1" xr:uid="{749E0A7D-EE23-4223-9385-63C75ED43495}"/>
    <hyperlink ref="E6" r:id="rId2" xr:uid="{7A239524-79A6-4377-A3BF-4ECADDB45388}"/>
    <hyperlink ref="E7" r:id="rId3" xr:uid="{C71BF6FE-524C-456B-9839-3E2F00C01B61}"/>
    <hyperlink ref="E9" r:id="rId4" xr:uid="{06BFA019-EAE3-4792-AD76-A3148C288B07}"/>
    <hyperlink ref="E10" r:id="rId5" xr:uid="{F0FAB06B-3EC3-4712-9835-1B3E254A887A}"/>
    <hyperlink ref="E8" r:id="rId6" xr:uid="{EF16C5C6-4950-4CFA-886C-121FF340DDB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Prenner</dc:creator>
  <cp:lastModifiedBy>Moritz Prenner</cp:lastModifiedBy>
  <dcterms:created xsi:type="dcterms:W3CDTF">2026-01-03T18:15:08Z</dcterms:created>
  <dcterms:modified xsi:type="dcterms:W3CDTF">2026-01-03T19:23:31Z</dcterms:modified>
</cp:coreProperties>
</file>